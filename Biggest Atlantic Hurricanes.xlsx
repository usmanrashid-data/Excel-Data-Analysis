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A37B3C4B-0031-4C02-AA21-CDB02FDD6314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F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<sst xmlns="http://schemas.openxmlformats.org/spreadsheetml/2006/main" count="53" uniqueCount="53">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</sst>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8"/>
      <color rgb="FF5B6D79"/>
      <name val="Npprimarysemibold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8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4" fillId="2" borderId="0" xfId="0" applyFont="1" applyFill="1" applyAlignment="1">
      <alignment wrapText="1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C39" sqref="C39"/>
    </sheetView>
  </sheetViews>
  <sheetFormatPr defaultRowHeight="15"/>
  <cols>
    <col min="1" max="1" width="18.7109375" customWidth="1"/>
    <col min="2" max="2" width="22.42578125" bestFit="1" customWidth="1"/>
    <col min="3" max="3" width="14" bestFit="1" customWidth="1"/>
    <col min="4" max="4" width="9.85546875" bestFit="1" customWidth="1"/>
    <col min="5" max="5" width="12.5703125" bestFit="1" customWidth="1"/>
    <col min="6" max="6" width="4.42578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_xlfn.SWITCH(D4,1,95,2,110,3,129,4,156,5,"157 and over","Unknown Category")</f>
        <v>129</v>
      </c>
      <c r="F4" cm="1">
        <f t="array" ref="F4">_xlfn.IFS(D4=1, 95, D4=2, 110, D4=3, 129, D4=4, 156, D4=5, "157 and over")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_xlfn.SWITCH(D5,1,95,2,110,3,129,4,156,5,"157 and over","Unknown Category")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_xlfn.SWITCH(D6,1,95,2,110,3,129,4,156,5,"157 and over","Unknown Category")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_xlfn.SWITCH(D7,1,95,2,110,3,129,4,156,5,"157 and over","Unknown Category")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_xlfn.SWITCH(D8,1,95,2,110,3,129,4,156,5,"157 and over","Unknown Category")</f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_xlfn.SWITCH(D9,1,95,2,110,3,129,4,156,5,"157 and over","Unknown Category")</f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_xlfn.SWITCH(D10,1,95,2,110,3,129,4,156,5,"157 and over","Unknown Category")</f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_xlfn.SWITCH(D11,1,95,2,110,3,129,4,156,5,"157 and over","Unknown Category")</f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_xlfn.SWITCH(D12,1,95,2,110,3,129,4,156,5,"157 and over","Unknown Category")</f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_xlfn.SWITCH(D13,1,95,2,110,3,129,4,156,5,"157 and over","Unknown Category")</f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>_xlfn.SWITCH(D14,1,95,2,110,3,129,4,156,5,"157 and over","Unknown Category")</f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>_xlfn.SWITCH(D15,1,95,2,110,3,129,4,156,5,"157 and over","Unknown Category")</f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>_xlfn.SWITCH(D16,1,95,2,110,3,129,4,156,5,"157 and over","Unknown Category")</f>
        <v>156</v>
      </c>
    </row>
    <row r="17" spans="1:5">
      <c r="A17" t="s">
        <v>37</v>
      </c>
      <c r="B17" t="s">
        <v>38</v>
      </c>
      <c r="C17" s="3">
        <v>1800</v>
      </c>
      <c r="D17">
        <v>2</v>
      </c>
      <c r="E17" s="6" cm="1">
        <f t="array" ref="E17">_xlfn.SWITCH(D17,1,95,2,110,3,129,4,156,5,"157 and over","Unknown Category")</f>
        <v>110</v>
      </c>
    </row>
    <row r="18" spans="1:5">
      <c r="A18" t="s">
        <v>39</v>
      </c>
      <c r="B18" t="s">
        <v>40</v>
      </c>
      <c r="C18" s="3">
        <v>1540</v>
      </c>
      <c r="D18">
        <v>5</v>
      </c>
      <c r="E18" s="6" t="str" cm="1">
        <f t="array" ref="E18">_xlfn.SWITCH(D18,1,95,2,110,3,129,4,156,5,"157 and over","Unknown Category")</f>
        <v>157 and over</v>
      </c>
    </row>
    <row r="19" spans="1:5">
      <c r="A19" t="s">
        <v>41</v>
      </c>
      <c r="B19" t="s">
        <v>42</v>
      </c>
      <c r="C19" s="3">
        <v>594</v>
      </c>
      <c r="D19">
        <v>1</v>
      </c>
      <c r="E19" s="6" cm="1">
        <f t="array" ref="E19">_xlfn.SWITCH(D19,1,95,2,110,3,129,4,156,5,"157 and over","Unknown Category")</f>
        <v>95</v>
      </c>
    </row>
    <row r="20" spans="1:5">
      <c r="A20" t="s">
        <v>43</v>
      </c>
      <c r="B20" t="s">
        <v>44</v>
      </c>
      <c r="C20" s="3">
        <v>6200</v>
      </c>
      <c r="D20">
        <v>5</v>
      </c>
      <c r="E20" s="6" t="str" cm="1">
        <f t="array" ref="E20">_xlfn.SWITCH(D20,1,95,2,110,3,129,4,156,5,"157 and over","Unknown Category")</f>
        <v>157 and over</v>
      </c>
    </row>
    <row r="21" spans="1:5">
      <c r="A21" t="s">
        <v>45</v>
      </c>
      <c r="B21" t="s">
        <v>46</v>
      </c>
      <c r="C21" s="3">
        <v>7660</v>
      </c>
      <c r="D21">
        <v>3</v>
      </c>
      <c r="E21" s="6" cm="1">
        <f t="array" ref="E21">_xlfn.SWITCH(D21,1,95,2,110,3,129,4,156,5,"157 and over","Unknown Category")</f>
        <v>129</v>
      </c>
    </row>
    <row r="22" spans="1:5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>_xlfn.SWITCH(D22,1,95,2,110,3,129,4,156,5,"157 and over","Unknown Category")</f>
        <v>157 and over</v>
      </c>
    </row>
    <row r="23" spans="1:5">
      <c r="A23" t="s">
        <v>49</v>
      </c>
      <c r="B23" t="s">
        <v>50</v>
      </c>
      <c r="C23" s="3">
        <v>3960</v>
      </c>
      <c r="D23">
        <v>1</v>
      </c>
      <c r="E23" s="6" cm="1">
        <f t="array" ref="E23">_xlfn.SWITCH(D23,1,95,2,110,3,129,4,156,5,"157 and over","Unknown Category")</f>
        <v>95</v>
      </c>
    </row>
    <row r="24" spans="1:5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>_xlfn.SWITCH(D24,1,95,2,110,3,129,4,156,5,"157 and over","Unknown Category")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 ht="23.25">
      <c r="C39" s="7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056E9-45E7-4EE1-B8ED-748AFD02223F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2026-10-26T13:45:34Z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